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EC1DECF2-2995-4403-B5D6-C41BE854068D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raw" sheetId="1" r:id="rId1"/>
    <sheet name="base_tratad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2" i="2"/>
  <c r="H3" i="2"/>
  <c r="H4" i="2"/>
  <c r="H5" i="2"/>
  <c r="H6" i="2"/>
  <c r="H2" i="2"/>
  <c r="G3" i="2"/>
  <c r="G4" i="2"/>
  <c r="G5" i="2"/>
  <c r="G6" i="2"/>
  <c r="G2" i="2"/>
  <c r="F3" i="2"/>
  <c r="F2" i="2"/>
  <c r="F4" i="2"/>
  <c r="F5" i="2"/>
  <c r="F6" i="2"/>
</calcChain>
</file>

<file path=xl/sharedStrings.xml><?xml version="1.0" encoding="utf-8"?>
<sst xmlns="http://schemas.openxmlformats.org/spreadsheetml/2006/main" count="50" uniqueCount="27">
  <si>
    <t>id_visita</t>
  </si>
  <si>
    <t>data_visita</t>
  </si>
  <si>
    <t>matricula</t>
  </si>
  <si>
    <t>bairro</t>
  </si>
  <si>
    <t>status_visita</t>
  </si>
  <si>
    <t>unidades_familiares</t>
  </si>
  <si>
    <t>nome_responsavel</t>
  </si>
  <si>
    <t>cpf_responsavel</t>
  </si>
  <si>
    <t>MT-1001</t>
  </si>
  <si>
    <t>Campo Grande</t>
  </si>
  <si>
    <t>SUCESSO</t>
  </si>
  <si>
    <t>Ana Souza</t>
  </si>
  <si>
    <t>MT-1002</t>
  </si>
  <si>
    <t>Santa Cruz</t>
  </si>
  <si>
    <t>AUSENTE</t>
  </si>
  <si>
    <t>MT-1003</t>
  </si>
  <si>
    <t>Realengo</t>
  </si>
  <si>
    <t>RECUSA</t>
  </si>
  <si>
    <t>MT-1004</t>
  </si>
  <si>
    <t>Bangu</t>
  </si>
  <si>
    <t>Carlos Lima</t>
  </si>
  <si>
    <t>MT-1005</t>
  </si>
  <si>
    <t>Mariana Alves</t>
  </si>
  <si>
    <t>visita_valida</t>
  </si>
  <si>
    <t>status_normalizado</t>
  </si>
  <si>
    <t>fluxo</t>
  </si>
  <si>
    <t>flag_instalacao_hidrometro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</si>
</sst>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E6" sqref="A2:E6"/>
    </sheetView>
  </sheetViews>
  <sheetFormatPr defaultRowHeight="15"/>
  <cols>
    <col min="8" max="8" width="1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2">
        <v>46024</v>
      </c>
      <c r="C2" t="s">
        <v>8</v>
      </c>
      <c r="D2" t="s">
        <v>9</v>
      </c>
      <c r="E2" t="s">
        <v>10</v>
      </c>
      <c r="F2">
        <v>2</v>
      </c>
      <c r="G2" t="s">
        <v>11</v>
      </c>
      <c r="H2">
        <v>12345678901</v>
      </c>
    </row>
    <row r="3" spans="1:8">
      <c r="A3">
        <v>2</v>
      </c>
      <c r="B3" s="2">
        <v>46024</v>
      </c>
      <c r="C3" t="s">
        <v>12</v>
      </c>
      <c r="D3" t="s">
        <v>13</v>
      </c>
      <c r="E3" t="s">
        <v>14</v>
      </c>
    </row>
    <row r="4" spans="1:8">
      <c r="A4">
        <v>3</v>
      </c>
      <c r="B4" s="2">
        <v>46025</v>
      </c>
      <c r="C4" t="s">
        <v>15</v>
      </c>
      <c r="D4" t="s">
        <v>16</v>
      </c>
      <c r="E4" t="s">
        <v>17</v>
      </c>
    </row>
    <row r="5" spans="1:8">
      <c r="A5">
        <v>4</v>
      </c>
      <c r="B5" s="2">
        <v>46025</v>
      </c>
      <c r="C5" t="s">
        <v>18</v>
      </c>
      <c r="D5" t="s">
        <v>19</v>
      </c>
      <c r="E5" t="s">
        <v>10</v>
      </c>
      <c r="F5">
        <v>1</v>
      </c>
      <c r="G5" t="s">
        <v>20</v>
      </c>
      <c r="H5">
        <v>98765432100</v>
      </c>
    </row>
    <row r="6" spans="1:8">
      <c r="A6">
        <v>5</v>
      </c>
      <c r="B6" s="2">
        <v>46026</v>
      </c>
      <c r="C6" t="s">
        <v>21</v>
      </c>
      <c r="D6" t="s">
        <v>9</v>
      </c>
      <c r="E6" t="s">
        <v>10</v>
      </c>
      <c r="F6">
        <v>3</v>
      </c>
      <c r="G6" t="s">
        <v>22</v>
      </c>
      <c r="H6">
        <v>45678912300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DE71-58D6-409F-B2FB-5928BCF34052}">
  <dimension ref="A1:K6"/>
  <sheetViews>
    <sheetView tabSelected="1" workbookViewId="0">
      <selection activeCell="I2" sqref="I2:I6"/>
    </sheetView>
  </sheetViews>
  <sheetFormatPr defaultRowHeight="15"/>
  <cols>
    <col min="2" max="2" width="10.28515625" bestFit="1" customWidth="1"/>
    <col min="5" max="5" width="11.7109375" bestFit="1" customWidth="1"/>
    <col min="6" max="6" width="35.7109375" bestFit="1" customWidth="1"/>
    <col min="7" max="7" width="34.5703125" bestFit="1" customWidth="1"/>
    <col min="8" max="8" width="21.42578125" bestFit="1" customWidth="1"/>
    <col min="9" max="9" width="25" bestFit="1" customWidth="1"/>
    <col min="10" max="10" width="22.42578125" bestFit="1" customWidth="1"/>
    <col min="11" max="11" width="36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24</v>
      </c>
      <c r="H1" t="s">
        <v>25</v>
      </c>
      <c r="I1" t="s">
        <v>26</v>
      </c>
    </row>
    <row r="2" spans="1:11" ht="30.75">
      <c r="A2">
        <v>1</v>
      </c>
      <c r="B2" s="2">
        <v>46024</v>
      </c>
      <c r="C2" t="s">
        <v>8</v>
      </c>
      <c r="D2" t="s">
        <v>9</v>
      </c>
      <c r="E2" t="s">
        <v>10</v>
      </c>
      <c r="F2" s="1" t="str">
        <f>IF(OR(E2="",E2="ERRO"),"Não","Sim")</f>
        <v>Sim</v>
      </c>
      <c r="G2" t="str">
        <f>IF(E2="SUCESSO","CAPTADO",
IF(E2="AUSENTE","AUSENTE",
IF(E2="RECUSA","RECUSA","OUTRO")))</f>
        <v>CAPTADO</v>
      </c>
      <c r="H2" t="str">
        <f>IF(G2="CAPTADO","segue_para_capex","encerrado_na_visita")</f>
        <v>segue_para_capex</v>
      </c>
      <c r="I2" t="str">
        <f>IF(H2="segue_para_capex","Sim","Não")</f>
        <v>Sim</v>
      </c>
      <c r="K2" s="1"/>
    </row>
    <row r="3" spans="1:11">
      <c r="A3">
        <v>2</v>
      </c>
      <c r="B3" s="2">
        <v>46024</v>
      </c>
      <c r="C3" t="s">
        <v>12</v>
      </c>
      <c r="D3" t="s">
        <v>13</v>
      </c>
      <c r="E3" t="s">
        <v>14</v>
      </c>
      <c r="F3" s="1" t="str">
        <f>IF(OR(E3="",E3="ERRO"),"Não","Sim")</f>
        <v>Sim</v>
      </c>
      <c r="G3" t="str">
        <f t="shared" ref="G3:G6" si="0">IF(E3="SUCESSO","CAPTADO",
IF(E3="AUSENTE","AUSENTE",
IF(E3="RECUSA","RECUSA","OUTRO")))</f>
        <v>AUSENTE</v>
      </c>
      <c r="H3" t="str">
        <f t="shared" ref="H3:H6" si="1">IF(G3="CAPTADO","segue_para_capex","encerrado_na_visita")</f>
        <v>encerrado_na_visita</v>
      </c>
      <c r="I3" t="str">
        <f t="shared" ref="I3:I6" si="2">IF(H3="segue_para_capex","Sim","Não")</f>
        <v>Não</v>
      </c>
    </row>
    <row r="4" spans="1:11">
      <c r="A4">
        <v>3</v>
      </c>
      <c r="B4" s="2">
        <v>46025</v>
      </c>
      <c r="C4" t="s">
        <v>15</v>
      </c>
      <c r="D4" t="s">
        <v>16</v>
      </c>
      <c r="E4" t="s">
        <v>17</v>
      </c>
      <c r="F4" s="1" t="str">
        <f t="shared" ref="F3:F6" si="3">IF(OR(E4="",E4="ERRO"),"Não","Sim")</f>
        <v>Sim</v>
      </c>
      <c r="G4" t="str">
        <f t="shared" si="0"/>
        <v>RECUSA</v>
      </c>
      <c r="H4" t="str">
        <f t="shared" si="1"/>
        <v>encerrado_na_visita</v>
      </c>
      <c r="I4" t="str">
        <f t="shared" si="2"/>
        <v>Não</v>
      </c>
    </row>
    <row r="5" spans="1:11">
      <c r="A5">
        <v>4</v>
      </c>
      <c r="B5" s="2">
        <v>46025</v>
      </c>
      <c r="C5" t="s">
        <v>18</v>
      </c>
      <c r="D5" t="s">
        <v>19</v>
      </c>
      <c r="E5" t="s">
        <v>10</v>
      </c>
      <c r="F5" s="1" t="str">
        <f t="shared" si="3"/>
        <v>Sim</v>
      </c>
      <c r="G5" t="str">
        <f t="shared" si="0"/>
        <v>CAPTADO</v>
      </c>
      <c r="H5" t="str">
        <f t="shared" si="1"/>
        <v>segue_para_capex</v>
      </c>
      <c r="I5" t="str">
        <f t="shared" si="2"/>
        <v>Sim</v>
      </c>
    </row>
    <row r="6" spans="1:11">
      <c r="A6">
        <v>5</v>
      </c>
      <c r="B6" s="2">
        <v>46026</v>
      </c>
      <c r="C6" t="s">
        <v>21</v>
      </c>
      <c r="D6" t="s">
        <v>9</v>
      </c>
      <c r="E6" t="s">
        <v>10</v>
      </c>
      <c r="F6" s="1" t="str">
        <f t="shared" si="3"/>
        <v>Sim</v>
      </c>
      <c r="G6" t="str">
        <f t="shared" si="0"/>
        <v>CAPTADO</v>
      </c>
      <c r="H6" t="str">
        <f t="shared" si="1"/>
        <v>segue_para_capex</v>
      </c>
      <c r="I6" t="str">
        <f t="shared" si="2"/>
        <v>Sim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2026-01-19T16:55:49Z</dcterms:created>
  <dcterms:modified xsi:type="dcterms:W3CDTF">2026-01-19T19:09:37Z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c72e2-94da-4215-9321-6e23e54d2fc1_Enabled">
    <vt:lpwstr>true</vt:lpwstr>
  </property>
  <property fmtid="{D5CDD505-2E9C-101B-9397-08002B2CF9AE}" pid="3" name="MSIP_Label_2d8c72e2-94da-4215-9321-6e23e54d2fc1_SetDate">
    <vt:lpwstr>2026-01-19T16:55:53Z</vt:lpwstr>
  </property>
  <property fmtid="{D5CDD505-2E9C-101B-9397-08002B2CF9AE}" pid="4" name="MSIP_Label_2d8c72e2-94da-4215-9321-6e23e54d2fc1_Method">
    <vt:lpwstr>Standard</vt:lpwstr>
  </property>
  <property fmtid="{D5CDD505-2E9C-101B-9397-08002B2CF9AE}" pid="5" name="MSIP_Label_2d8c72e2-94da-4215-9321-6e23e54d2fc1_Name">
    <vt:lpwstr>Interno</vt:lpwstr>
  </property>
  <property fmtid="{D5CDD505-2E9C-101B-9397-08002B2CF9AE}" pid="6" name="MSIP_Label_2d8c72e2-94da-4215-9321-6e23e54d2fc1_SiteId">
    <vt:lpwstr>b43bf106-dce6-4172-8664-a651d7c6f029</vt:lpwstr>
  </property>
  <property fmtid="{D5CDD505-2E9C-101B-9397-08002B2CF9AE}" pid="7" name="MSIP_Label_2d8c72e2-94da-4215-9321-6e23e54d2fc1_ActionId">
    <vt:lpwstr>affd9970-e8cf-410b-bee8-58addd5d9d88</vt:lpwstr>
  </property>
  <property fmtid="{D5CDD505-2E9C-101B-9397-08002B2CF9AE}" pid="8" name="MSIP_Label_2d8c72e2-94da-4215-9321-6e23e54d2fc1_ContentBits">
    <vt:lpwstr>0</vt:lpwstr>
  </property>
  <property fmtid="{D5CDD505-2E9C-101B-9397-08002B2CF9AE}" pid="9" name="MSIP_Label_2d8c72e2-94da-4215-9321-6e23e54d2fc1_Tag">
    <vt:lpwstr>10, 3, 0, 2</vt:lpwstr>
  </property>
</Properties>
</file>